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m Wortmann\Documents\Custom Office Templates\"/>
    </mc:Choice>
  </mc:AlternateContent>
  <xr:revisionPtr revIDLastSave="0" documentId="8_{52484B76-4975-4C9D-8053-DA72BF7A35A5}" xr6:coauthVersionLast="40" xr6:coauthVersionMax="40" xr10:uidLastSave="{00000000-0000-0000-0000-000000000000}"/>
  <bookViews>
    <workbookView xWindow="0" yWindow="0" windowWidth="23040" windowHeight="8412" activeTab="3" xr2:uid="{DCE5D0FC-6F82-4C27-90B6-9F9D2ACEDF09}"/>
  </bookViews>
  <sheets>
    <sheet name="Sheet1" sheetId="1" r:id="rId1"/>
    <sheet name="Adjuvant" sheetId="2" r:id="rId2"/>
    <sheet name="Pasture" sheetId="3" r:id="rId3"/>
    <sheet name="Nutrien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7" i="1" l="1"/>
  <c r="D68" i="1"/>
  <c r="D69" i="1"/>
  <c r="D70" i="1"/>
  <c r="D71" i="1"/>
  <c r="D72" i="1"/>
  <c r="D73" i="1"/>
  <c r="D74" i="1"/>
  <c r="D75" i="1"/>
  <c r="D76" i="1"/>
  <c r="D7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15" i="4"/>
  <c r="E15" i="4" s="1"/>
  <c r="D14" i="4"/>
  <c r="E14" i="4" s="1"/>
  <c r="D13" i="4"/>
  <c r="E13" i="4" s="1"/>
  <c r="D12" i="4"/>
  <c r="E12" i="4" s="1"/>
  <c r="D11" i="4"/>
  <c r="E11" i="4" s="1"/>
  <c r="D10" i="4"/>
  <c r="E10" i="4" s="1"/>
  <c r="D9" i="4"/>
  <c r="E9" i="4" s="1"/>
  <c r="D8" i="4"/>
  <c r="E8" i="4" s="1"/>
  <c r="D7" i="4"/>
  <c r="E7" i="4" s="1"/>
  <c r="D6" i="4"/>
  <c r="E6" i="4" s="1"/>
  <c r="D5" i="4"/>
  <c r="E5" i="4" s="1"/>
  <c r="D4" i="4"/>
  <c r="E4" i="4" s="1"/>
  <c r="D3" i="4"/>
  <c r="E3" i="4" s="1"/>
  <c r="D2" i="4"/>
  <c r="E2" i="4" s="1"/>
  <c r="E11" i="3"/>
  <c r="F11" i="3" s="1"/>
  <c r="E10" i="3"/>
  <c r="F10" i="3" s="1"/>
  <c r="E9" i="3"/>
  <c r="F9" i="3" s="1"/>
  <c r="E8" i="3"/>
  <c r="F8" i="3" s="1"/>
  <c r="E7" i="3"/>
  <c r="F7" i="3" s="1"/>
  <c r="E6" i="3"/>
  <c r="F6" i="3" s="1"/>
  <c r="F5" i="3"/>
  <c r="F4" i="3"/>
  <c r="E3" i="3"/>
  <c r="F3" i="3" s="1"/>
  <c r="E2" i="3"/>
  <c r="F2" i="3" s="1"/>
  <c r="F25" i="2"/>
  <c r="F24" i="2"/>
  <c r="F23" i="2"/>
  <c r="F22" i="2"/>
  <c r="F21" i="2"/>
  <c r="E20" i="2"/>
  <c r="F20" i="2" s="1"/>
  <c r="F19" i="2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F8" i="2"/>
  <c r="E7" i="2"/>
  <c r="F7" i="2" s="1"/>
  <c r="F6" i="2"/>
  <c r="E6" i="2"/>
  <c r="E5" i="2"/>
  <c r="F5" i="2" s="1"/>
  <c r="F4" i="2"/>
  <c r="E4" i="2"/>
  <c r="E3" i="2"/>
  <c r="F3" i="2" s="1"/>
  <c r="F2" i="2"/>
  <c r="E2" i="2"/>
</calcChain>
</file>

<file path=xl/sharedStrings.xml><?xml version="1.0" encoding="utf-8"?>
<sst xmlns="http://schemas.openxmlformats.org/spreadsheetml/2006/main" count="265" uniqueCount="188">
  <si>
    <t>PRODUCT</t>
  </si>
  <si>
    <t>PKG SIZE</t>
  </si>
  <si>
    <t>COST</t>
  </si>
  <si>
    <t>OUT</t>
  </si>
  <si>
    <t>Active</t>
  </si>
  <si>
    <t>WSSA</t>
  </si>
  <si>
    <t>Max Use in Season</t>
  </si>
  <si>
    <t>Rate</t>
  </si>
  <si>
    <t>LV4</t>
  </si>
  <si>
    <t>LV6</t>
  </si>
  <si>
    <t xml:space="preserve">LV6 </t>
  </si>
  <si>
    <t>MCPA</t>
  </si>
  <si>
    <t xml:space="preserve">48.72 - Dimethylamine Salt of 2-Methyl-4-Chlorophenoxyacetic Acid </t>
  </si>
  <si>
    <t>MCPE</t>
  </si>
  <si>
    <t>68.7 - MCPA-EHE: 2-methyl-4-chlorophenoxyacetic acid,2-ethylhexyl ester</t>
  </si>
  <si>
    <t>Amine</t>
  </si>
  <si>
    <t>Atrazine 4l</t>
  </si>
  <si>
    <t>Atrazine DF</t>
  </si>
  <si>
    <t>25#</t>
  </si>
  <si>
    <t>Basagran</t>
  </si>
  <si>
    <t>Sodium salt of bentazon</t>
  </si>
  <si>
    <t>Broclean</t>
  </si>
  <si>
    <t>Bromac Adv.</t>
  </si>
  <si>
    <t>Callisto/Explorer</t>
  </si>
  <si>
    <t>4x1</t>
  </si>
  <si>
    <t>40 - Mesotrione</t>
  </si>
  <si>
    <t>6 floz</t>
  </si>
  <si>
    <t>3 floz/acre</t>
  </si>
  <si>
    <t>Capture/Sniper</t>
  </si>
  <si>
    <t>Dual/Medal EC</t>
  </si>
  <si>
    <t>s- Metolachlor</t>
  </si>
  <si>
    <t>1-2pt</t>
  </si>
  <si>
    <t>Extreme/Thundermaster</t>
  </si>
  <si>
    <t xml:space="preserve">1.8 - Imazethapyr 22 - Glyphosate </t>
  </si>
  <si>
    <t>2,9</t>
  </si>
  <si>
    <t>3pt</t>
  </si>
  <si>
    <t>Flexstar/ Battle Star</t>
  </si>
  <si>
    <t>Gramoxzone/Parazone</t>
  </si>
  <si>
    <t>30.1 - Paraquat dichloride</t>
  </si>
  <si>
    <t>11.6pt</t>
  </si>
  <si>
    <t>8-32 floz/acre</t>
  </si>
  <si>
    <t>Hat Trick</t>
  </si>
  <si>
    <t xml:space="preserve">8.66 - fluroxypyr 1-methylheptyl ester,6.00 - clopyralid,33.70 - MCPA Ester </t>
  </si>
  <si>
    <t>2pt</t>
  </si>
  <si>
    <t>1.5pt/acre</t>
  </si>
  <si>
    <t>Intensity</t>
  </si>
  <si>
    <t xml:space="preserve"> </t>
  </si>
  <si>
    <t>Lambda</t>
  </si>
  <si>
    <t>Librerty/Forfeit</t>
  </si>
  <si>
    <t>Max Kill Dusticide</t>
  </si>
  <si>
    <t>50#</t>
  </si>
  <si>
    <t>Metribuzin</t>
  </si>
  <si>
    <t>8x5</t>
  </si>
  <si>
    <t>1.3 LB/acre</t>
  </si>
  <si>
    <t>.5-1.16 LB/acre</t>
  </si>
  <si>
    <t>2x25</t>
  </si>
  <si>
    <t>Mongoose(cobra)</t>
  </si>
  <si>
    <t>2x2.5</t>
  </si>
  <si>
    <t>24 - Lactofen</t>
  </si>
  <si>
    <t>25 floz/acre</t>
  </si>
  <si>
    <t>10-12.5 floz/acre</t>
  </si>
  <si>
    <t>Prowl/ Stealth</t>
  </si>
  <si>
    <t>Pendimethalin</t>
  </si>
  <si>
    <t>1 Application</t>
  </si>
  <si>
    <t>1.8-3pt/acre</t>
  </si>
  <si>
    <t>Quinclorac</t>
  </si>
  <si>
    <t>Rifle</t>
  </si>
  <si>
    <t>48.2 - Dimethylamine</t>
  </si>
  <si>
    <t>1.5pt</t>
  </si>
  <si>
    <t>1pt</t>
  </si>
  <si>
    <t>Spartan 4F</t>
  </si>
  <si>
    <t>39.6 - Sulfentrazone</t>
  </si>
  <si>
    <t>4.5-12 floz/acre</t>
  </si>
  <si>
    <t>Top Gun</t>
  </si>
  <si>
    <t>Treflan/Trifluralin</t>
  </si>
  <si>
    <t>43 - trifluralin</t>
  </si>
  <si>
    <t>1-2.5 pt/acre</t>
  </si>
  <si>
    <t>Trimec</t>
  </si>
  <si>
    <t>Valor/Panther SC</t>
  </si>
  <si>
    <t>44 - Flumioxazin</t>
  </si>
  <si>
    <t>3floz/acre</t>
  </si>
  <si>
    <t>1floz/acre</t>
  </si>
  <si>
    <t>Widematch/Colt AS</t>
  </si>
  <si>
    <t>12.3 - fluroxypyr  11.3 - Clopyralid</t>
  </si>
  <si>
    <t>1.33pt</t>
  </si>
  <si>
    <t>1-1.33</t>
  </si>
  <si>
    <t>Fungicide</t>
  </si>
  <si>
    <t>Folicur/Monsoon</t>
  </si>
  <si>
    <t>Tilt/Ftitness</t>
  </si>
  <si>
    <t>Quadris/ Aframe</t>
  </si>
  <si>
    <t xml:space="preserve">Quilt Excel/Aframe </t>
  </si>
  <si>
    <t>Glyphosate</t>
  </si>
  <si>
    <t>Glystar</t>
  </si>
  <si>
    <t>Glystar 5</t>
  </si>
  <si>
    <t>Mad Dog 5.4</t>
  </si>
  <si>
    <t>Mad Dog K6</t>
  </si>
  <si>
    <t xml:space="preserve">Acetechlor </t>
  </si>
  <si>
    <t>Cadence NXT</t>
  </si>
  <si>
    <t>Bulk</t>
  </si>
  <si>
    <t xml:space="preserve">75.9 - Acetochlor </t>
  </si>
  <si>
    <t>3.4pt</t>
  </si>
  <si>
    <t>1.5pt - 2pt / A</t>
  </si>
  <si>
    <t>Cadence NXT ATZ</t>
  </si>
  <si>
    <t>33.4 - Acetochlor, 26.9 - Atrazine</t>
  </si>
  <si>
    <t>5,15</t>
  </si>
  <si>
    <t>4qt</t>
  </si>
  <si>
    <t>1.7qt - 2.3qt / A</t>
  </si>
  <si>
    <t>Cadence NXT LITE</t>
  </si>
  <si>
    <t>Double Header</t>
  </si>
  <si>
    <t xml:space="preserve">4.10 - Mesotrione 35 - Acetochlor </t>
  </si>
  <si>
    <t>15,27</t>
  </si>
  <si>
    <t>2.4qt</t>
  </si>
  <si>
    <t>1.4qt - 1.7qt / A</t>
  </si>
  <si>
    <t>Smackdown</t>
  </si>
  <si>
    <t xml:space="preserve">41.67 - Acetochlor 1.3 - Flumetsulam 4.27 - clopyralid </t>
  </si>
  <si>
    <t>2,4,14</t>
  </si>
  <si>
    <t>3.5pt/season</t>
  </si>
  <si>
    <t>1.5-2pt/acre</t>
  </si>
  <si>
    <t>2,4,15</t>
  </si>
  <si>
    <t>PRODUCTS</t>
  </si>
  <si>
    <t>ACTIVE</t>
  </si>
  <si>
    <t>PRICE</t>
  </si>
  <si>
    <t>ACTIVATOR 90</t>
  </si>
  <si>
    <t>NIS</t>
  </si>
  <si>
    <t>ALL CLEAR</t>
  </si>
  <si>
    <t>TANK CLEANER</t>
  </si>
  <si>
    <t xml:space="preserve">CHOICE </t>
  </si>
  <si>
    <t>CONDITIONER</t>
  </si>
  <si>
    <t>CHOICE TRIO</t>
  </si>
  <si>
    <t>DISPATCH AMS</t>
  </si>
  <si>
    <t>NIS+AMS</t>
  </si>
  <si>
    <t>FLAME</t>
  </si>
  <si>
    <t>PARAFFIN OIL</t>
  </si>
  <si>
    <t>FRANCHISE</t>
  </si>
  <si>
    <t xml:space="preserve">FUNGICIDE </t>
  </si>
  <si>
    <t>GUNSMOKE</t>
  </si>
  <si>
    <t>ACIDIFIER</t>
  </si>
  <si>
    <t>HERBIMAX</t>
  </si>
  <si>
    <t>OIL</t>
  </si>
  <si>
    <t>INFUSE</t>
  </si>
  <si>
    <t>APP AID</t>
  </si>
  <si>
    <t>LIBERATE</t>
  </si>
  <si>
    <t>MAXIMIZER</t>
  </si>
  <si>
    <t>MSO CONC.</t>
  </si>
  <si>
    <t>METHLY OIL</t>
  </si>
  <si>
    <t>REIGN</t>
  </si>
  <si>
    <t>SPRAY DEP</t>
  </si>
  <si>
    <t>REIGN LC</t>
  </si>
  <si>
    <t>SPREADER 90</t>
  </si>
  <si>
    <t>STRIKE FORCE</t>
  </si>
  <si>
    <t>ALL IN ONE</t>
  </si>
  <si>
    <t>Trekker Trax</t>
  </si>
  <si>
    <t>FOAM</t>
  </si>
  <si>
    <t>UNFOAMER</t>
  </si>
  <si>
    <t>DEFOAMER</t>
  </si>
  <si>
    <t>WATER CONDITONER</t>
  </si>
  <si>
    <t>WEATHERGARD</t>
  </si>
  <si>
    <t>DRY AMS</t>
  </si>
  <si>
    <t>51#</t>
  </si>
  <si>
    <t>LIQUID AMS</t>
  </si>
  <si>
    <t>SIZE</t>
  </si>
  <si>
    <t>CHAPARAL</t>
  </si>
  <si>
    <t>6X1.25#</t>
  </si>
  <si>
    <t>4X5#</t>
  </si>
  <si>
    <t>CURTAIL</t>
  </si>
  <si>
    <t>2X2 1/2</t>
  </si>
  <si>
    <t>CURTAIL M</t>
  </si>
  <si>
    <t>GRAZON NXT</t>
  </si>
  <si>
    <t>2X2</t>
  </si>
  <si>
    <t>GRAZON P&amp;D</t>
  </si>
  <si>
    <t>MILESTONE</t>
  </si>
  <si>
    <t>12X1</t>
  </si>
  <si>
    <t>IN</t>
  </si>
  <si>
    <t>ACCOMPLISH LM</t>
  </si>
  <si>
    <t xml:space="preserve">AWAKEN </t>
  </si>
  <si>
    <t>AWAKEN ST</t>
  </si>
  <si>
    <t>BOROSOL 10</t>
  </si>
  <si>
    <t>NITRANE</t>
  </si>
  <si>
    <t>N-PACT</t>
  </si>
  <si>
    <t>NUTRISYNC D</t>
  </si>
  <si>
    <t>NUTRISYNC M</t>
  </si>
  <si>
    <t>NUTRISYNC MICROPAK</t>
  </si>
  <si>
    <t>NUTRISYNC SULFUR</t>
  </si>
  <si>
    <t>NUTRISYNC ZINC</t>
  </si>
  <si>
    <t>REBAR 3</t>
  </si>
  <si>
    <t>TASK FORCE 2</t>
  </si>
  <si>
    <t>ZINC 9% EDTA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</si>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</sst>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sto MT"/>
      <family val="1"/>
    </font>
    <font>
      <sz val="11"/>
      <color theme="1"/>
      <name val="Calisto MT"/>
      <family val="1"/>
    </font>
    <font>
      <b/>
      <sz val="11"/>
      <color theme="1"/>
      <name val="Calisto MT"/>
      <family val="1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 indent="1"/>
    </xf>
    <xf numFmtId="44" fontId="2" fillId="2" borderId="0" xfId="1" applyFont="1" applyFill="1"/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left" indent="1"/>
    </xf>
    <xf numFmtId="44" fontId="3" fillId="0" borderId="0" xfId="1" applyFont="1"/>
    <xf numFmtId="44" fontId="3" fillId="0" borderId="0" xfId="0" applyNumberFormat="1" applyFont="1"/>
    <xf numFmtId="0" fontId="4" fillId="2" borderId="0" xfId="0" applyFont="1" applyFill="1"/>
    <xf numFmtId="8" fontId="3" fillId="0" borderId="0" xfId="1" applyNumberFormat="1" applyFont="1"/>
    <xf numFmtId="0" fontId="3" fillId="3" borderId="0" xfId="0" applyFont="1" applyFill="1"/>
    <xf numFmtId="0" fontId="3" fillId="4" borderId="0" xfId="0" applyFont="1" applyFill="1" applyAlignment="1">
      <alignment horizontal="center"/>
    </xf>
    <xf numFmtId="9" fontId="3" fillId="0" borderId="0" xfId="0" applyNumberFormat="1" applyFont="1"/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8CCC-D6D3-4C85-BEC6-71F4B0825B39}">
  <dimension ref="A1:H89"/>
  <sheetViews>
    <sheetView workbookViewId="0">
      <selection activeCell="H1" sqref="H1:H1048576"/>
    </sheetView>
  </sheetViews>
  <sheetFormatPr defaultRowHeight="14.4" x14ac:dyDescent="0.3"/>
  <cols>
    <col min="1" max="1" width="22.33203125" bestFit="1" customWidth="1"/>
    <col min="2" max="2" width="11.88671875" bestFit="1" customWidth="1"/>
    <col min="3" max="3" width="0" hidden="1" customWidth="1"/>
    <col min="5" max="5" width="66.5546875" customWidth="1"/>
    <col min="6" max="6" width="6.88671875" bestFit="1" customWidth="1"/>
    <col min="7" max="7" width="17.6640625" bestFit="1" customWidth="1"/>
  </cols>
  <sheetData>
    <row r="1" spans="1:8" x14ac:dyDescent="0.3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3">
      <c r="A2" s="5" t="s">
        <v>8</v>
      </c>
      <c r="B2" s="6">
        <v>2.5</v>
      </c>
      <c r="C2" s="7">
        <v>16.41</v>
      </c>
      <c r="D2" s="8">
        <f t="shared" ref="D2:D33" si="0">(C2*0.08)+C2</f>
        <v>17.722799999999999</v>
      </c>
      <c r="E2" s="4"/>
      <c r="F2" s="4"/>
      <c r="G2" s="4"/>
      <c r="H2" s="4"/>
    </row>
    <row r="3" spans="1:8" x14ac:dyDescent="0.3">
      <c r="A3" s="5" t="s">
        <v>8</v>
      </c>
      <c r="B3" s="6">
        <v>250</v>
      </c>
      <c r="C3" s="7">
        <v>15.87</v>
      </c>
      <c r="D3" s="8">
        <f t="shared" si="0"/>
        <v>17.139599999999998</v>
      </c>
      <c r="E3" s="4"/>
      <c r="F3" s="4"/>
      <c r="G3" s="4"/>
      <c r="H3" s="4"/>
    </row>
    <row r="4" spans="1:8" x14ac:dyDescent="0.3">
      <c r="A4" s="5" t="s">
        <v>9</v>
      </c>
      <c r="B4" s="6">
        <v>2.5</v>
      </c>
      <c r="C4" s="7">
        <v>20.440000000000001</v>
      </c>
      <c r="D4" s="8">
        <f t="shared" si="0"/>
        <v>22.075200000000002</v>
      </c>
      <c r="E4" s="4"/>
      <c r="F4" s="4"/>
      <c r="G4" s="4"/>
      <c r="H4" s="4"/>
    </row>
    <row r="5" spans="1:8" x14ac:dyDescent="0.3">
      <c r="A5" s="5" t="s">
        <v>10</v>
      </c>
      <c r="B5" s="6">
        <v>250</v>
      </c>
      <c r="C5" s="7">
        <v>19.46</v>
      </c>
      <c r="D5" s="8">
        <f t="shared" si="0"/>
        <v>21.0168</v>
      </c>
      <c r="E5" s="4"/>
      <c r="F5" s="4"/>
      <c r="G5" s="4"/>
      <c r="H5" s="4"/>
    </row>
    <row r="6" spans="1:8" x14ac:dyDescent="0.3">
      <c r="A6" s="5" t="s">
        <v>11</v>
      </c>
      <c r="B6" s="6">
        <v>2.5</v>
      </c>
      <c r="C6" s="7">
        <v>16.170000000000002</v>
      </c>
      <c r="D6" s="8">
        <f t="shared" si="0"/>
        <v>17.463600000000003</v>
      </c>
      <c r="E6" s="4" t="s">
        <v>12</v>
      </c>
      <c r="F6" s="4">
        <v>4</v>
      </c>
      <c r="G6" s="4"/>
      <c r="H6" s="4"/>
    </row>
    <row r="7" spans="1:8" x14ac:dyDescent="0.3">
      <c r="A7" s="5" t="s">
        <v>11</v>
      </c>
      <c r="B7" s="6">
        <v>250</v>
      </c>
      <c r="C7" s="7">
        <v>16.170000000000002</v>
      </c>
      <c r="D7" s="8">
        <f t="shared" si="0"/>
        <v>17.463600000000003</v>
      </c>
      <c r="E7" s="4"/>
      <c r="F7" s="4">
        <v>4</v>
      </c>
      <c r="G7" s="4"/>
      <c r="H7" s="4"/>
    </row>
    <row r="8" spans="1:8" x14ac:dyDescent="0.3">
      <c r="A8" s="5" t="s">
        <v>13</v>
      </c>
      <c r="B8" s="6">
        <v>2.5</v>
      </c>
      <c r="C8" s="7">
        <v>20.329999999999998</v>
      </c>
      <c r="D8" s="8">
        <f t="shared" si="0"/>
        <v>21.956399999999999</v>
      </c>
      <c r="E8" s="4" t="s">
        <v>14</v>
      </c>
      <c r="F8" s="4">
        <v>4</v>
      </c>
      <c r="G8" s="4"/>
      <c r="H8" s="4"/>
    </row>
    <row r="9" spans="1:8" x14ac:dyDescent="0.3">
      <c r="A9" s="5" t="s">
        <v>13</v>
      </c>
      <c r="B9" s="6">
        <v>250</v>
      </c>
      <c r="C9" s="7">
        <v>19.78</v>
      </c>
      <c r="D9" s="8">
        <f t="shared" si="0"/>
        <v>21.362400000000001</v>
      </c>
      <c r="E9" s="4"/>
      <c r="F9" s="4"/>
      <c r="G9" s="4"/>
      <c r="H9" s="4"/>
    </row>
    <row r="10" spans="1:8" x14ac:dyDescent="0.3">
      <c r="A10" s="5" t="s">
        <v>15</v>
      </c>
      <c r="B10" s="6">
        <v>2.5</v>
      </c>
      <c r="C10" s="7">
        <v>11.52</v>
      </c>
      <c r="D10" s="8">
        <f t="shared" si="0"/>
        <v>12.441599999999999</v>
      </c>
      <c r="E10" s="4"/>
      <c r="F10" s="4"/>
      <c r="G10" s="4"/>
      <c r="H10" s="4"/>
    </row>
    <row r="11" spans="1:8" x14ac:dyDescent="0.3">
      <c r="A11" s="5" t="s">
        <v>15</v>
      </c>
      <c r="B11" s="6">
        <v>250</v>
      </c>
      <c r="C11" s="7">
        <v>10.98</v>
      </c>
      <c r="D11" s="8">
        <f t="shared" si="0"/>
        <v>11.8584</v>
      </c>
      <c r="E11" s="4"/>
      <c r="F11" s="4"/>
      <c r="G11" s="4"/>
      <c r="H11" s="4"/>
    </row>
    <row r="12" spans="1:8" x14ac:dyDescent="0.3">
      <c r="A12" s="5"/>
      <c r="B12" s="6"/>
      <c r="C12" s="7"/>
      <c r="D12" s="8">
        <f t="shared" si="0"/>
        <v>0</v>
      </c>
      <c r="E12" s="4"/>
      <c r="F12" s="4"/>
      <c r="G12" s="4"/>
      <c r="H12" s="4"/>
    </row>
    <row r="13" spans="1:8" x14ac:dyDescent="0.3">
      <c r="A13" s="5"/>
      <c r="B13" s="6"/>
      <c r="C13" s="7"/>
      <c r="D13" s="8">
        <f t="shared" si="0"/>
        <v>0</v>
      </c>
      <c r="E13" s="4"/>
      <c r="F13" s="4"/>
      <c r="G13" s="4"/>
      <c r="H13" s="4"/>
    </row>
    <row r="14" spans="1:8" x14ac:dyDescent="0.3">
      <c r="A14" s="5" t="s">
        <v>16</v>
      </c>
      <c r="B14" s="6">
        <v>2.5</v>
      </c>
      <c r="C14" s="7">
        <v>11</v>
      </c>
      <c r="D14" s="8">
        <f t="shared" si="0"/>
        <v>11.88</v>
      </c>
      <c r="E14" s="4"/>
      <c r="F14" s="4"/>
      <c r="G14" s="4"/>
      <c r="H14" s="4"/>
    </row>
    <row r="15" spans="1:8" x14ac:dyDescent="0.3">
      <c r="A15" s="5" t="s">
        <v>16</v>
      </c>
      <c r="B15" s="6">
        <v>250</v>
      </c>
      <c r="C15" s="7">
        <v>11</v>
      </c>
      <c r="D15" s="8">
        <f t="shared" si="0"/>
        <v>11.88</v>
      </c>
      <c r="E15" s="4"/>
      <c r="F15" s="4"/>
      <c r="G15" s="4"/>
      <c r="H15" s="4"/>
    </row>
    <row r="16" spans="1:8" x14ac:dyDescent="0.3">
      <c r="A16" s="5" t="s">
        <v>17</v>
      </c>
      <c r="B16" s="6" t="s">
        <v>18</v>
      </c>
      <c r="C16" s="7">
        <v>2.68</v>
      </c>
      <c r="D16" s="8">
        <f t="shared" si="0"/>
        <v>2.8944000000000001</v>
      </c>
      <c r="E16" s="4"/>
      <c r="F16" s="4"/>
      <c r="G16" s="4"/>
      <c r="H16" s="4"/>
    </row>
    <row r="17" spans="1:8" x14ac:dyDescent="0.3">
      <c r="A17" s="5" t="s">
        <v>19</v>
      </c>
      <c r="B17" s="6">
        <v>2.5</v>
      </c>
      <c r="C17" s="7">
        <v>51.47</v>
      </c>
      <c r="D17" s="8">
        <f t="shared" si="0"/>
        <v>55.587600000000002</v>
      </c>
      <c r="E17" s="4" t="s">
        <v>20</v>
      </c>
      <c r="F17" s="4">
        <v>6</v>
      </c>
      <c r="G17" s="4"/>
      <c r="H17" s="4"/>
    </row>
    <row r="18" spans="1:8" x14ac:dyDescent="0.3">
      <c r="A18" s="5" t="s">
        <v>21</v>
      </c>
      <c r="B18" s="6">
        <v>2.5</v>
      </c>
      <c r="C18" s="7">
        <v>35.380000000000003</v>
      </c>
      <c r="D18" s="8">
        <f t="shared" si="0"/>
        <v>38.2104</v>
      </c>
      <c r="E18" s="4"/>
      <c r="F18" s="4"/>
      <c r="G18" s="4"/>
      <c r="H18" s="4"/>
    </row>
    <row r="19" spans="1:8" x14ac:dyDescent="0.3">
      <c r="A19" s="5" t="s">
        <v>22</v>
      </c>
      <c r="B19" s="6">
        <v>2.5</v>
      </c>
      <c r="C19" s="7">
        <v>45.33</v>
      </c>
      <c r="D19" s="8">
        <f t="shared" si="0"/>
        <v>48.956399999999995</v>
      </c>
      <c r="E19" s="4"/>
      <c r="F19" s="4"/>
      <c r="G19" s="4"/>
      <c r="H19" s="4"/>
    </row>
    <row r="20" spans="1:8" x14ac:dyDescent="0.3">
      <c r="A20" s="5" t="s">
        <v>22</v>
      </c>
      <c r="B20" s="6">
        <v>250</v>
      </c>
      <c r="C20" s="7">
        <v>44.22</v>
      </c>
      <c r="D20" s="8">
        <f t="shared" si="0"/>
        <v>47.757599999999996</v>
      </c>
      <c r="E20" s="4"/>
      <c r="F20" s="4"/>
      <c r="G20" s="4"/>
      <c r="H20" s="4"/>
    </row>
    <row r="21" spans="1:8" x14ac:dyDescent="0.3">
      <c r="A21" s="5" t="s">
        <v>23</v>
      </c>
      <c r="B21" s="6" t="s">
        <v>24</v>
      </c>
      <c r="C21" s="7">
        <v>115</v>
      </c>
      <c r="D21" s="8">
        <f t="shared" si="0"/>
        <v>124.2</v>
      </c>
      <c r="E21" s="4" t="s">
        <v>25</v>
      </c>
      <c r="F21" s="4">
        <v>27</v>
      </c>
      <c r="G21" s="4" t="s">
        <v>26</v>
      </c>
      <c r="H21" s="4" t="s">
        <v>27</v>
      </c>
    </row>
    <row r="22" spans="1:8" x14ac:dyDescent="0.3">
      <c r="A22" s="5" t="s">
        <v>28</v>
      </c>
      <c r="B22" s="6" t="s">
        <v>24</v>
      </c>
      <c r="C22" s="7">
        <v>100</v>
      </c>
      <c r="D22" s="8">
        <f t="shared" si="0"/>
        <v>108</v>
      </c>
      <c r="E22" s="4"/>
      <c r="F22" s="4"/>
      <c r="G22" s="4"/>
      <c r="H22" s="4"/>
    </row>
    <row r="23" spans="1:8" x14ac:dyDescent="0.3">
      <c r="A23" s="5" t="s">
        <v>29</v>
      </c>
      <c r="B23" s="6">
        <v>2.5</v>
      </c>
      <c r="C23" s="7"/>
      <c r="D23" s="8">
        <f t="shared" si="0"/>
        <v>0</v>
      </c>
      <c r="E23" s="4" t="s">
        <v>30</v>
      </c>
      <c r="F23" s="4">
        <v>15</v>
      </c>
      <c r="G23" s="4"/>
      <c r="H23" s="4" t="s">
        <v>31</v>
      </c>
    </row>
    <row r="24" spans="1:8" x14ac:dyDescent="0.3">
      <c r="A24" s="5" t="s">
        <v>29</v>
      </c>
      <c r="B24" s="6">
        <v>250</v>
      </c>
      <c r="C24" s="7"/>
      <c r="D24" s="8">
        <f t="shared" si="0"/>
        <v>0</v>
      </c>
      <c r="E24" s="4" t="s">
        <v>30</v>
      </c>
      <c r="F24" s="4">
        <v>15</v>
      </c>
      <c r="G24" s="4"/>
      <c r="H24" s="4" t="s">
        <v>31</v>
      </c>
    </row>
    <row r="25" spans="1:8" x14ac:dyDescent="0.3">
      <c r="A25" s="5" t="s">
        <v>32</v>
      </c>
      <c r="B25" s="6">
        <v>2.5</v>
      </c>
      <c r="C25" s="7"/>
      <c r="D25" s="8">
        <f t="shared" si="0"/>
        <v>0</v>
      </c>
      <c r="E25" s="4" t="s">
        <v>33</v>
      </c>
      <c r="F25" s="4" t="s">
        <v>34</v>
      </c>
      <c r="G25" s="4" t="s">
        <v>35</v>
      </c>
      <c r="H25" s="4" t="s">
        <v>35</v>
      </c>
    </row>
    <row r="26" spans="1:8" x14ac:dyDescent="0.3">
      <c r="A26" s="5" t="s">
        <v>32</v>
      </c>
      <c r="B26" s="6">
        <v>250</v>
      </c>
      <c r="C26" s="7"/>
      <c r="D26" s="8">
        <f t="shared" si="0"/>
        <v>0</v>
      </c>
      <c r="E26" s="4" t="s">
        <v>33</v>
      </c>
      <c r="F26" s="4" t="s">
        <v>34</v>
      </c>
      <c r="G26" s="4" t="s">
        <v>35</v>
      </c>
      <c r="H26" s="4" t="s">
        <v>35</v>
      </c>
    </row>
    <row r="27" spans="1:8" x14ac:dyDescent="0.3">
      <c r="A27" s="5" t="s">
        <v>36</v>
      </c>
      <c r="B27" s="6">
        <v>2.5</v>
      </c>
      <c r="C27" s="7"/>
      <c r="D27" s="8">
        <f t="shared" si="0"/>
        <v>0</v>
      </c>
      <c r="E27" s="4"/>
      <c r="F27" s="4"/>
      <c r="G27" s="4"/>
      <c r="H27" s="4"/>
    </row>
    <row r="28" spans="1:8" x14ac:dyDescent="0.3">
      <c r="A28" s="5" t="s">
        <v>37</v>
      </c>
      <c r="B28" s="6">
        <v>2.5</v>
      </c>
      <c r="C28" s="7">
        <v>19.84</v>
      </c>
      <c r="D28" s="8">
        <f t="shared" si="0"/>
        <v>21.427199999999999</v>
      </c>
      <c r="E28" s="4" t="s">
        <v>38</v>
      </c>
      <c r="F28" s="4">
        <v>22</v>
      </c>
      <c r="G28" s="4" t="s">
        <v>39</v>
      </c>
      <c r="H28" s="4" t="s">
        <v>40</v>
      </c>
    </row>
    <row r="29" spans="1:8" x14ac:dyDescent="0.3">
      <c r="A29" s="5" t="s">
        <v>41</v>
      </c>
      <c r="B29" s="6">
        <v>2.5</v>
      </c>
      <c r="C29" s="7">
        <v>44.28</v>
      </c>
      <c r="D29" s="8">
        <f t="shared" si="0"/>
        <v>47.822400000000002</v>
      </c>
      <c r="E29" s="4" t="s">
        <v>42</v>
      </c>
      <c r="F29" s="4">
        <v>4</v>
      </c>
      <c r="G29" s="4" t="s">
        <v>43</v>
      </c>
      <c r="H29" s="4" t="s">
        <v>44</v>
      </c>
    </row>
    <row r="30" spans="1:8" x14ac:dyDescent="0.3">
      <c r="A30" s="5" t="s">
        <v>45</v>
      </c>
      <c r="B30" s="6">
        <v>2.5</v>
      </c>
      <c r="C30" s="7">
        <v>45</v>
      </c>
      <c r="D30" s="8">
        <f t="shared" si="0"/>
        <v>48.6</v>
      </c>
      <c r="E30" s="4" t="s">
        <v>46</v>
      </c>
      <c r="F30" s="4"/>
      <c r="G30" s="4"/>
      <c r="H30" s="4"/>
    </row>
    <row r="31" spans="1:8" x14ac:dyDescent="0.3">
      <c r="A31" s="5" t="s">
        <v>47</v>
      </c>
      <c r="B31" s="6" t="s">
        <v>24</v>
      </c>
      <c r="C31" s="7"/>
      <c r="D31" s="8">
        <f t="shared" si="0"/>
        <v>0</v>
      </c>
      <c r="E31" s="4"/>
      <c r="F31" s="4"/>
      <c r="G31" s="4"/>
      <c r="H31" s="4"/>
    </row>
    <row r="32" spans="1:8" x14ac:dyDescent="0.3">
      <c r="A32" s="5" t="s">
        <v>48</v>
      </c>
      <c r="B32" s="6">
        <v>2.5</v>
      </c>
      <c r="C32" s="7">
        <v>41.57</v>
      </c>
      <c r="D32" s="8">
        <f t="shared" si="0"/>
        <v>44.895600000000002</v>
      </c>
      <c r="E32" s="4"/>
      <c r="F32" s="4"/>
      <c r="G32" s="4"/>
      <c r="H32" s="4"/>
    </row>
    <row r="33" spans="1:8" x14ac:dyDescent="0.3">
      <c r="A33" s="5" t="s">
        <v>48</v>
      </c>
      <c r="B33" s="6">
        <v>250</v>
      </c>
      <c r="C33" s="7">
        <v>40.96</v>
      </c>
      <c r="D33" s="8">
        <f t="shared" si="0"/>
        <v>44.236800000000002</v>
      </c>
      <c r="E33" s="4"/>
      <c r="F33" s="4"/>
      <c r="G33" s="4"/>
      <c r="H33" s="4"/>
    </row>
    <row r="34" spans="1:8" x14ac:dyDescent="0.3">
      <c r="A34" s="5" t="s">
        <v>49</v>
      </c>
      <c r="B34" s="6" t="s">
        <v>50</v>
      </c>
      <c r="C34" s="7"/>
      <c r="D34" s="8">
        <f t="shared" ref="D34:D65" si="1">(C34*0.08)+C34</f>
        <v>0</v>
      </c>
      <c r="E34" s="4"/>
      <c r="F34" s="4"/>
      <c r="G34" s="4"/>
      <c r="H34" s="4"/>
    </row>
    <row r="35" spans="1:8" x14ac:dyDescent="0.3">
      <c r="A35" s="5" t="s">
        <v>51</v>
      </c>
      <c r="B35" s="6" t="s">
        <v>52</v>
      </c>
      <c r="C35" s="7">
        <v>15.24</v>
      </c>
      <c r="D35" s="8">
        <f t="shared" si="1"/>
        <v>16.459199999999999</v>
      </c>
      <c r="E35" s="4"/>
      <c r="F35" s="4">
        <v>5</v>
      </c>
      <c r="G35" s="4" t="s">
        <v>53</v>
      </c>
      <c r="H35" s="4" t="s">
        <v>54</v>
      </c>
    </row>
    <row r="36" spans="1:8" x14ac:dyDescent="0.3">
      <c r="A36" s="5" t="s">
        <v>51</v>
      </c>
      <c r="B36" s="6" t="s">
        <v>55</v>
      </c>
      <c r="C36" s="7">
        <v>15.25</v>
      </c>
      <c r="D36" s="8">
        <f t="shared" si="1"/>
        <v>16.47</v>
      </c>
      <c r="E36" s="4"/>
      <c r="F36" s="4">
        <v>5</v>
      </c>
      <c r="G36" s="4" t="s">
        <v>53</v>
      </c>
      <c r="H36" s="4" t="s">
        <v>54</v>
      </c>
    </row>
    <row r="37" spans="1:8" x14ac:dyDescent="0.3">
      <c r="A37" s="5" t="s">
        <v>56</v>
      </c>
      <c r="B37" s="6" t="s">
        <v>57</v>
      </c>
      <c r="C37" s="7">
        <v>155.88999999999999</v>
      </c>
      <c r="D37" s="8">
        <f t="shared" si="1"/>
        <v>168.3612</v>
      </c>
      <c r="E37" s="4" t="s">
        <v>58</v>
      </c>
      <c r="F37" s="4">
        <v>14</v>
      </c>
      <c r="G37" s="4" t="s">
        <v>59</v>
      </c>
      <c r="H37" s="4" t="s">
        <v>60</v>
      </c>
    </row>
    <row r="38" spans="1:8" x14ac:dyDescent="0.3">
      <c r="A38" s="5" t="s">
        <v>61</v>
      </c>
      <c r="B38" s="6">
        <v>2.5</v>
      </c>
      <c r="C38" s="7">
        <v>29.92</v>
      </c>
      <c r="D38" s="8">
        <f t="shared" si="1"/>
        <v>32.313600000000001</v>
      </c>
      <c r="E38" s="4" t="s">
        <v>62</v>
      </c>
      <c r="F38" s="4">
        <v>3</v>
      </c>
      <c r="G38" s="4" t="s">
        <v>63</v>
      </c>
      <c r="H38" s="4" t="s">
        <v>64</v>
      </c>
    </row>
    <row r="39" spans="1:8" x14ac:dyDescent="0.3">
      <c r="A39" s="5" t="s">
        <v>61</v>
      </c>
      <c r="B39" s="6">
        <v>250</v>
      </c>
      <c r="C39" s="7">
        <v>28.83</v>
      </c>
      <c r="D39" s="8">
        <f t="shared" si="1"/>
        <v>31.136399999999998</v>
      </c>
      <c r="E39" s="4" t="s">
        <v>62</v>
      </c>
      <c r="F39" s="4">
        <v>3</v>
      </c>
      <c r="G39" s="4"/>
      <c r="H39" s="4"/>
    </row>
    <row r="40" spans="1:8" x14ac:dyDescent="0.3">
      <c r="A40" s="5" t="s">
        <v>65</v>
      </c>
      <c r="B40" s="6"/>
      <c r="C40" s="7"/>
      <c r="D40" s="8">
        <f t="shared" si="1"/>
        <v>0</v>
      </c>
      <c r="E40" s="4"/>
      <c r="F40" s="4"/>
      <c r="G40" s="4"/>
      <c r="H40" s="4"/>
    </row>
    <row r="41" spans="1:8" x14ac:dyDescent="0.3">
      <c r="A41" s="5" t="s">
        <v>66</v>
      </c>
      <c r="B41" s="6">
        <v>2.5</v>
      </c>
      <c r="C41" s="7">
        <v>37.65</v>
      </c>
      <c r="D41" s="8">
        <f t="shared" si="1"/>
        <v>40.661999999999999</v>
      </c>
      <c r="E41" s="4" t="s">
        <v>67</v>
      </c>
      <c r="F41" s="4">
        <v>4</v>
      </c>
      <c r="G41" s="4" t="s">
        <v>68</v>
      </c>
      <c r="H41" s="4" t="s">
        <v>69</v>
      </c>
    </row>
    <row r="42" spans="1:8" x14ac:dyDescent="0.3">
      <c r="A42" s="5" t="s">
        <v>66</v>
      </c>
      <c r="B42" s="6">
        <v>250</v>
      </c>
      <c r="C42" s="7">
        <v>37.06</v>
      </c>
      <c r="D42" s="8">
        <f t="shared" si="1"/>
        <v>40.024799999999999</v>
      </c>
      <c r="E42" s="4" t="s">
        <v>67</v>
      </c>
      <c r="F42" s="4">
        <v>4</v>
      </c>
      <c r="G42" s="4"/>
      <c r="H42" s="4"/>
    </row>
    <row r="43" spans="1:8" x14ac:dyDescent="0.3">
      <c r="A43" s="5" t="s">
        <v>70</v>
      </c>
      <c r="B43" s="6" t="s">
        <v>24</v>
      </c>
      <c r="C43" s="7">
        <v>190</v>
      </c>
      <c r="D43" s="8">
        <f t="shared" si="1"/>
        <v>205.2</v>
      </c>
      <c r="E43" s="4" t="s">
        <v>71</v>
      </c>
      <c r="F43" s="4">
        <v>14</v>
      </c>
      <c r="G43" s="4"/>
      <c r="H43" s="4" t="s">
        <v>72</v>
      </c>
    </row>
    <row r="44" spans="1:8" x14ac:dyDescent="0.3">
      <c r="A44" s="5" t="s">
        <v>73</v>
      </c>
      <c r="B44" s="6"/>
      <c r="C44" s="7"/>
      <c r="D44" s="8">
        <f t="shared" si="1"/>
        <v>0</v>
      </c>
      <c r="E44" s="4"/>
      <c r="F44" s="4"/>
      <c r="G44" s="4"/>
      <c r="H44" s="4"/>
    </row>
    <row r="45" spans="1:8" x14ac:dyDescent="0.3">
      <c r="A45" s="5" t="s">
        <v>74</v>
      </c>
      <c r="B45" s="6">
        <v>2.5</v>
      </c>
      <c r="C45" s="7">
        <v>21.26</v>
      </c>
      <c r="D45" s="8">
        <f t="shared" si="1"/>
        <v>22.960800000000003</v>
      </c>
      <c r="E45" s="4" t="s">
        <v>75</v>
      </c>
      <c r="F45" s="4">
        <v>3</v>
      </c>
      <c r="G45" s="4"/>
      <c r="H45" s="4" t="s">
        <v>76</v>
      </c>
    </row>
    <row r="46" spans="1:8" x14ac:dyDescent="0.3">
      <c r="A46" s="5" t="s">
        <v>74</v>
      </c>
      <c r="B46" s="6">
        <v>250</v>
      </c>
      <c r="C46" s="7">
        <v>20.329999999999998</v>
      </c>
      <c r="D46" s="8">
        <f t="shared" si="1"/>
        <v>21.956399999999999</v>
      </c>
      <c r="E46" s="4" t="s">
        <v>75</v>
      </c>
      <c r="F46" s="4">
        <v>3</v>
      </c>
      <c r="G46" s="4"/>
      <c r="H46" s="4" t="s">
        <v>76</v>
      </c>
    </row>
    <row r="47" spans="1:8" x14ac:dyDescent="0.3">
      <c r="A47" s="5" t="s">
        <v>77</v>
      </c>
      <c r="B47" s="6"/>
      <c r="C47" s="7"/>
      <c r="D47" s="8">
        <f t="shared" si="1"/>
        <v>0</v>
      </c>
      <c r="E47" s="4"/>
      <c r="F47" s="4"/>
      <c r="G47" s="4"/>
      <c r="H47" s="4"/>
    </row>
    <row r="48" spans="1:8" x14ac:dyDescent="0.3">
      <c r="A48" s="5" t="s">
        <v>78</v>
      </c>
      <c r="B48" s="6">
        <v>2.5</v>
      </c>
      <c r="C48" s="7">
        <v>397.73</v>
      </c>
      <c r="D48" s="8">
        <f t="shared" si="1"/>
        <v>429.54840000000002</v>
      </c>
      <c r="E48" s="4" t="s">
        <v>79</v>
      </c>
      <c r="F48" s="4">
        <v>14</v>
      </c>
      <c r="G48" s="4" t="s">
        <v>80</v>
      </c>
      <c r="H48" s="4" t="s">
        <v>81</v>
      </c>
    </row>
    <row r="49" spans="1:8" x14ac:dyDescent="0.3">
      <c r="A49" s="5" t="s">
        <v>82</v>
      </c>
      <c r="B49" s="6">
        <v>2.5</v>
      </c>
      <c r="C49" s="7">
        <v>50</v>
      </c>
      <c r="D49" s="8">
        <f t="shared" si="1"/>
        <v>54</v>
      </c>
      <c r="E49" s="4" t="s">
        <v>83</v>
      </c>
      <c r="F49" s="4">
        <v>4</v>
      </c>
      <c r="G49" s="4" t="s">
        <v>84</v>
      </c>
      <c r="H49" s="4" t="s">
        <v>85</v>
      </c>
    </row>
    <row r="50" spans="1:8" x14ac:dyDescent="0.3">
      <c r="A50" s="5"/>
      <c r="B50" s="4"/>
      <c r="C50" s="4"/>
      <c r="D50" s="8">
        <f t="shared" si="1"/>
        <v>0</v>
      </c>
      <c r="E50" s="4"/>
      <c r="F50" s="4"/>
      <c r="G50" s="4"/>
      <c r="H50" s="4"/>
    </row>
    <row r="51" spans="1:8" x14ac:dyDescent="0.3">
      <c r="A51" s="9" t="s">
        <v>86</v>
      </c>
      <c r="B51" s="4"/>
      <c r="C51" s="4"/>
      <c r="D51" s="8">
        <f t="shared" si="1"/>
        <v>0</v>
      </c>
      <c r="E51" s="4"/>
      <c r="F51" s="4"/>
      <c r="G51" s="4"/>
      <c r="H51" s="4"/>
    </row>
    <row r="52" spans="1:8" x14ac:dyDescent="0.3">
      <c r="A52" s="5" t="s">
        <v>87</v>
      </c>
      <c r="B52" s="6">
        <v>2.5</v>
      </c>
      <c r="C52" s="7">
        <v>60</v>
      </c>
      <c r="D52" s="8">
        <f t="shared" si="1"/>
        <v>64.8</v>
      </c>
      <c r="E52" s="4"/>
      <c r="F52" s="4"/>
      <c r="G52" s="4"/>
      <c r="H52" s="4"/>
    </row>
    <row r="53" spans="1:8" x14ac:dyDescent="0.3">
      <c r="A53" s="5" t="s">
        <v>88</v>
      </c>
      <c r="B53" s="6" t="s">
        <v>24</v>
      </c>
      <c r="C53" s="7">
        <v>60</v>
      </c>
      <c r="D53" s="8">
        <f t="shared" si="1"/>
        <v>64.8</v>
      </c>
      <c r="E53" s="4"/>
      <c r="F53" s="4"/>
      <c r="G53" s="4"/>
      <c r="H53" s="4"/>
    </row>
    <row r="54" spans="1:8" x14ac:dyDescent="0.3">
      <c r="A54" s="5" t="s">
        <v>89</v>
      </c>
      <c r="B54" s="6">
        <v>2.5</v>
      </c>
      <c r="C54" s="7">
        <v>118.89</v>
      </c>
      <c r="D54" s="8">
        <f t="shared" si="1"/>
        <v>128.40119999999999</v>
      </c>
      <c r="E54" s="4"/>
      <c r="F54" s="4"/>
      <c r="G54" s="4"/>
      <c r="H54" s="4"/>
    </row>
    <row r="55" spans="1:8" x14ac:dyDescent="0.3">
      <c r="A55" s="5" t="s">
        <v>90</v>
      </c>
      <c r="B55" s="6">
        <v>2.5</v>
      </c>
      <c r="C55" s="7">
        <v>102.22</v>
      </c>
      <c r="D55" s="8">
        <f t="shared" si="1"/>
        <v>110.3976</v>
      </c>
      <c r="E55" s="4"/>
      <c r="F55" s="4"/>
      <c r="G55" s="4"/>
      <c r="H55" s="4"/>
    </row>
    <row r="56" spans="1:8" x14ac:dyDescent="0.3">
      <c r="A56" s="5"/>
      <c r="B56" s="6"/>
      <c r="C56" s="7"/>
      <c r="D56" s="8">
        <f t="shared" si="1"/>
        <v>0</v>
      </c>
      <c r="E56" s="4"/>
      <c r="F56" s="4"/>
      <c r="G56" s="4"/>
      <c r="H56" s="4"/>
    </row>
    <row r="57" spans="1:8" x14ac:dyDescent="0.3">
      <c r="A57" s="9" t="s">
        <v>91</v>
      </c>
      <c r="B57" s="6"/>
      <c r="C57" s="7"/>
      <c r="D57" s="8">
        <f t="shared" si="1"/>
        <v>0</v>
      </c>
      <c r="E57" s="4"/>
      <c r="F57" s="4"/>
      <c r="G57" s="4"/>
      <c r="H57" s="4"/>
    </row>
    <row r="58" spans="1:8" x14ac:dyDescent="0.3">
      <c r="A58" s="5" t="s">
        <v>92</v>
      </c>
      <c r="B58" s="6">
        <v>2.5</v>
      </c>
      <c r="C58" s="7">
        <v>10.6</v>
      </c>
      <c r="D58" s="8">
        <f t="shared" si="1"/>
        <v>11.448</v>
      </c>
      <c r="E58" s="4"/>
      <c r="F58" s="4"/>
      <c r="G58" s="4"/>
      <c r="H58" s="4"/>
    </row>
    <row r="59" spans="1:8" x14ac:dyDescent="0.3">
      <c r="A59" s="5" t="s">
        <v>92</v>
      </c>
      <c r="B59" s="6">
        <v>250</v>
      </c>
      <c r="C59" s="7">
        <v>11.3</v>
      </c>
      <c r="D59" s="8">
        <f t="shared" si="1"/>
        <v>12.204000000000001</v>
      </c>
      <c r="E59" s="4"/>
      <c r="F59" s="4"/>
      <c r="G59" s="4"/>
      <c r="H59" s="4"/>
    </row>
    <row r="60" spans="1:8" x14ac:dyDescent="0.3">
      <c r="A60" s="5" t="s">
        <v>93</v>
      </c>
      <c r="B60" s="6">
        <v>2.5</v>
      </c>
      <c r="C60" s="7">
        <v>13.26</v>
      </c>
      <c r="D60" s="8">
        <f t="shared" si="1"/>
        <v>14.3208</v>
      </c>
      <c r="E60" s="4"/>
      <c r="F60" s="4"/>
      <c r="G60" s="4"/>
      <c r="H60" s="4"/>
    </row>
    <row r="61" spans="1:8" x14ac:dyDescent="0.3">
      <c r="A61" s="5" t="s">
        <v>93</v>
      </c>
      <c r="B61" s="6">
        <v>250</v>
      </c>
      <c r="C61" s="7">
        <v>13.16</v>
      </c>
      <c r="D61" s="8">
        <f t="shared" si="1"/>
        <v>14.2128</v>
      </c>
      <c r="E61" s="4"/>
      <c r="F61" s="4"/>
      <c r="G61" s="4"/>
      <c r="H61" s="4"/>
    </row>
    <row r="62" spans="1:8" x14ac:dyDescent="0.3">
      <c r="A62" s="5" t="s">
        <v>94</v>
      </c>
      <c r="B62" s="6">
        <v>2.5</v>
      </c>
      <c r="C62" s="7">
        <v>14.656000000000001</v>
      </c>
      <c r="D62" s="8">
        <f t="shared" si="1"/>
        <v>15.828480000000001</v>
      </c>
      <c r="E62" s="4"/>
      <c r="F62" s="4"/>
      <c r="G62" s="4"/>
      <c r="H62" s="4"/>
    </row>
    <row r="63" spans="1:8" x14ac:dyDescent="0.3">
      <c r="A63" s="5" t="s">
        <v>94</v>
      </c>
      <c r="B63" s="6">
        <v>250</v>
      </c>
      <c r="C63" s="7">
        <v>14.15</v>
      </c>
      <c r="D63" s="8">
        <f t="shared" si="1"/>
        <v>15.282</v>
      </c>
      <c r="E63" s="4"/>
      <c r="F63" s="4"/>
      <c r="G63" s="4"/>
      <c r="H63" s="4"/>
    </row>
    <row r="64" spans="1:8" x14ac:dyDescent="0.3">
      <c r="A64" s="5" t="s">
        <v>95</v>
      </c>
      <c r="B64" s="6">
        <v>2.5</v>
      </c>
      <c r="C64" s="7">
        <v>16.2</v>
      </c>
      <c r="D64" s="8">
        <f t="shared" si="1"/>
        <v>17.495999999999999</v>
      </c>
      <c r="E64" s="4"/>
      <c r="F64" s="4"/>
      <c r="G64" s="4"/>
      <c r="H64" s="4"/>
    </row>
    <row r="65" spans="1:8" x14ac:dyDescent="0.3">
      <c r="A65" s="5" t="s">
        <v>95</v>
      </c>
      <c r="B65" s="6">
        <v>250</v>
      </c>
      <c r="C65" s="7">
        <v>16</v>
      </c>
      <c r="D65" s="8">
        <f t="shared" si="1"/>
        <v>17.28</v>
      </c>
      <c r="E65" s="4"/>
      <c r="F65" s="4"/>
      <c r="G65" s="4"/>
      <c r="H65" s="4"/>
    </row>
    <row r="66" spans="1:8" x14ac:dyDescent="0.3">
      <c r="A66" s="5"/>
      <c r="B66" s="6"/>
      <c r="C66" s="7"/>
      <c r="D66" s="8">
        <f t="shared" ref="D66:D77" si="2">(C66*0.08)+C66</f>
        <v>0</v>
      </c>
      <c r="E66" s="4"/>
      <c r="F66" s="4"/>
      <c r="G66" s="4"/>
      <c r="H66" s="4"/>
    </row>
    <row r="67" spans="1:8" x14ac:dyDescent="0.3">
      <c r="A67" s="9" t="s">
        <v>96</v>
      </c>
      <c r="B67" s="6"/>
      <c r="C67" s="7"/>
      <c r="D67" s="8">
        <f t="shared" si="2"/>
        <v>0</v>
      </c>
      <c r="E67" s="4"/>
      <c r="F67" s="4"/>
      <c r="G67" s="4"/>
      <c r="H67" s="4"/>
    </row>
    <row r="68" spans="1:8" x14ac:dyDescent="0.3">
      <c r="A68" s="5" t="s">
        <v>97</v>
      </c>
      <c r="B68" s="6" t="s">
        <v>98</v>
      </c>
      <c r="C68" s="10">
        <v>47.88</v>
      </c>
      <c r="D68" s="8">
        <f t="shared" si="2"/>
        <v>51.7104</v>
      </c>
      <c r="E68" s="4" t="s">
        <v>99</v>
      </c>
      <c r="F68" s="4">
        <v>15</v>
      </c>
      <c r="G68" s="4" t="s">
        <v>100</v>
      </c>
      <c r="H68" s="4" t="s">
        <v>101</v>
      </c>
    </row>
    <row r="69" spans="1:8" x14ac:dyDescent="0.3">
      <c r="A69" s="5" t="s">
        <v>97</v>
      </c>
      <c r="B69" s="6">
        <v>250</v>
      </c>
      <c r="C69" s="7">
        <v>49.2</v>
      </c>
      <c r="D69" s="8">
        <f t="shared" si="2"/>
        <v>53.136000000000003</v>
      </c>
      <c r="E69" s="4" t="s">
        <v>99</v>
      </c>
      <c r="F69" s="4">
        <v>15</v>
      </c>
      <c r="G69" s="4" t="s">
        <v>100</v>
      </c>
      <c r="H69" s="4" t="s">
        <v>101</v>
      </c>
    </row>
    <row r="70" spans="1:8" x14ac:dyDescent="0.3">
      <c r="A70" s="5" t="s">
        <v>102</v>
      </c>
      <c r="B70" s="6" t="s">
        <v>98</v>
      </c>
      <c r="C70" s="7">
        <v>23.45</v>
      </c>
      <c r="D70" s="8">
        <f t="shared" si="2"/>
        <v>25.326000000000001</v>
      </c>
      <c r="E70" s="4" t="s">
        <v>103</v>
      </c>
      <c r="F70" s="4" t="s">
        <v>104</v>
      </c>
      <c r="G70" s="4" t="s">
        <v>105</v>
      </c>
      <c r="H70" s="4" t="s">
        <v>106</v>
      </c>
    </row>
    <row r="71" spans="1:8" x14ac:dyDescent="0.3">
      <c r="A71" s="5" t="s">
        <v>102</v>
      </c>
      <c r="B71" s="6">
        <v>250</v>
      </c>
      <c r="C71" s="7">
        <v>24.51</v>
      </c>
      <c r="D71" s="8">
        <f t="shared" si="2"/>
        <v>26.470800000000001</v>
      </c>
      <c r="E71" s="4" t="s">
        <v>103</v>
      </c>
      <c r="F71" s="4" t="s">
        <v>104</v>
      </c>
      <c r="G71" s="4" t="s">
        <v>105</v>
      </c>
      <c r="H71" s="4" t="s">
        <v>106</v>
      </c>
    </row>
    <row r="72" spans="1:8" x14ac:dyDescent="0.3">
      <c r="A72" s="5" t="s">
        <v>107</v>
      </c>
      <c r="B72" s="6" t="s">
        <v>98</v>
      </c>
      <c r="C72" s="7">
        <v>29.48</v>
      </c>
      <c r="D72" s="8">
        <f t="shared" si="2"/>
        <v>31.8384</v>
      </c>
      <c r="E72" s="4"/>
      <c r="F72" s="4"/>
      <c r="G72" s="4"/>
      <c r="H72" s="4"/>
    </row>
    <row r="73" spans="1:8" x14ac:dyDescent="0.3">
      <c r="A73" s="5" t="s">
        <v>107</v>
      </c>
      <c r="B73" s="6">
        <v>250</v>
      </c>
      <c r="C73" s="7">
        <v>30.6</v>
      </c>
      <c r="D73" s="8">
        <f t="shared" si="2"/>
        <v>33.048000000000002</v>
      </c>
      <c r="E73" s="4"/>
      <c r="F73" s="4"/>
      <c r="G73" s="4"/>
      <c r="H73" s="4"/>
    </row>
    <row r="74" spans="1:8" x14ac:dyDescent="0.3">
      <c r="A74" s="5" t="s">
        <v>108</v>
      </c>
      <c r="B74" s="6" t="s">
        <v>98</v>
      </c>
      <c r="C74" s="7">
        <v>43.48</v>
      </c>
      <c r="D74" s="8">
        <f t="shared" si="2"/>
        <v>46.958399999999997</v>
      </c>
      <c r="E74" s="4" t="s">
        <v>109</v>
      </c>
      <c r="F74" s="4" t="s">
        <v>110</v>
      </c>
      <c r="G74" s="4" t="s">
        <v>111</v>
      </c>
      <c r="H74" s="4" t="s">
        <v>112</v>
      </c>
    </row>
    <row r="75" spans="1:8" x14ac:dyDescent="0.3">
      <c r="A75" s="5" t="s">
        <v>108</v>
      </c>
      <c r="B75" s="6">
        <v>250</v>
      </c>
      <c r="C75" s="7">
        <v>44.63</v>
      </c>
      <c r="D75" s="8">
        <f t="shared" si="2"/>
        <v>48.200400000000002</v>
      </c>
      <c r="E75" s="4" t="s">
        <v>109</v>
      </c>
      <c r="F75" s="4" t="s">
        <v>110</v>
      </c>
      <c r="G75" s="4" t="s">
        <v>111</v>
      </c>
      <c r="H75" s="4" t="s">
        <v>112</v>
      </c>
    </row>
    <row r="76" spans="1:8" x14ac:dyDescent="0.3">
      <c r="A76" s="5" t="s">
        <v>113</v>
      </c>
      <c r="B76" s="6" t="s">
        <v>98</v>
      </c>
      <c r="C76" s="7">
        <v>39.53</v>
      </c>
      <c r="D76" s="8">
        <f t="shared" si="2"/>
        <v>42.692399999999999</v>
      </c>
      <c r="E76" s="4" t="s">
        <v>114</v>
      </c>
      <c r="F76" s="4" t="s">
        <v>115</v>
      </c>
      <c r="G76" s="4" t="s">
        <v>116</v>
      </c>
      <c r="H76" s="4" t="s">
        <v>117</v>
      </c>
    </row>
    <row r="77" spans="1:8" x14ac:dyDescent="0.3">
      <c r="A77" s="5" t="s">
        <v>113</v>
      </c>
      <c r="B77" s="6">
        <v>250</v>
      </c>
      <c r="C77" s="7">
        <v>41.03</v>
      </c>
      <c r="D77" s="8">
        <f t="shared" si="2"/>
        <v>44.312400000000004</v>
      </c>
      <c r="E77" s="4" t="s">
        <v>114</v>
      </c>
      <c r="F77" s="4" t="s">
        <v>118</v>
      </c>
      <c r="G77" s="4" t="s">
        <v>116</v>
      </c>
      <c r="H77" s="4" t="s">
        <v>117</v>
      </c>
    </row>
    <row r="80" spans="1:8" x14ac:dyDescent="0.3">
      <c r="C80" s="8"/>
      <c r="D80" s="8"/>
    </row>
    <row r="81" spans="3:4" x14ac:dyDescent="0.3">
      <c r="C81" s="8"/>
      <c r="D81" s="8"/>
    </row>
    <row r="82" spans="3:4" x14ac:dyDescent="0.3">
      <c r="C82" s="8"/>
      <c r="D82" s="8"/>
    </row>
    <row r="83" spans="3:4" x14ac:dyDescent="0.3">
      <c r="C83" s="8"/>
      <c r="D83" s="8"/>
    </row>
    <row r="84" spans="3:4" x14ac:dyDescent="0.3">
      <c r="C84" s="8"/>
      <c r="D84" s="8"/>
    </row>
    <row r="85" spans="3:4" x14ac:dyDescent="0.3">
      <c r="C85" s="8"/>
      <c r="D85" s="8"/>
    </row>
    <row r="86" spans="3:4" x14ac:dyDescent="0.3">
      <c r="C86" s="8"/>
      <c r="D86" s="8"/>
    </row>
    <row r="87" spans="3:4" x14ac:dyDescent="0.3">
      <c r="C87" s="8"/>
      <c r="D87" s="8"/>
    </row>
    <row r="88" spans="3:4" x14ac:dyDescent="0.3">
      <c r="C88" s="8"/>
      <c r="D88" s="8"/>
    </row>
    <row r="89" spans="3:4" x14ac:dyDescent="0.3">
      <c r="C89" s="8"/>
      <c r="D89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BEC46-EE39-4253-B056-F946B897B4B9}">
  <dimension ref="A1:F25"/>
  <sheetViews>
    <sheetView workbookViewId="0">
      <selection activeCell="J11" sqref="J11"/>
    </sheetView>
  </sheetViews>
  <sheetFormatPr defaultRowHeight="14.4" x14ac:dyDescent="0.3"/>
  <cols>
    <col min="1" max="1" width="24.109375" bestFit="1" customWidth="1"/>
    <col min="2" max="2" width="18" bestFit="1" customWidth="1"/>
    <col min="3" max="5" width="0" hidden="1" customWidth="1"/>
  </cols>
  <sheetData>
    <row r="1" spans="1:6" x14ac:dyDescent="0.3">
      <c r="A1" s="11" t="s">
        <v>119</v>
      </c>
      <c r="B1" s="12" t="s">
        <v>120</v>
      </c>
      <c r="C1" s="4"/>
      <c r="D1" s="7"/>
      <c r="E1" s="4" t="s">
        <v>121</v>
      </c>
      <c r="F1" s="4" t="s">
        <v>3</v>
      </c>
    </row>
    <row r="2" spans="1:6" x14ac:dyDescent="0.3">
      <c r="A2" s="11" t="s">
        <v>122</v>
      </c>
      <c r="B2" s="12" t="s">
        <v>123</v>
      </c>
      <c r="C2" s="13">
        <v>0.15</v>
      </c>
      <c r="D2" s="7">
        <v>26.88</v>
      </c>
      <c r="E2" s="8">
        <f>D2*(1-(C2))</f>
        <v>22.847999999999999</v>
      </c>
      <c r="F2" s="8">
        <f>(E2*0.08)+E2</f>
        <v>24.675839999999997</v>
      </c>
    </row>
    <row r="3" spans="1:6" x14ac:dyDescent="0.3">
      <c r="A3" s="11" t="s">
        <v>124</v>
      </c>
      <c r="B3" s="12" t="s">
        <v>125</v>
      </c>
      <c r="C3" s="13">
        <v>0.15</v>
      </c>
      <c r="D3" s="7">
        <v>27.57</v>
      </c>
      <c r="E3" s="8">
        <f>D3*(1-(C3))</f>
        <v>23.4345</v>
      </c>
      <c r="F3" s="8">
        <f t="shared" ref="F3:F25" si="0">(E3*0.08)+E3</f>
        <v>25.309259999999998</v>
      </c>
    </row>
    <row r="4" spans="1:6" x14ac:dyDescent="0.3">
      <c r="A4" s="11" t="s">
        <v>126</v>
      </c>
      <c r="B4" s="12" t="s">
        <v>127</v>
      </c>
      <c r="C4" s="13">
        <v>0.15</v>
      </c>
      <c r="D4" s="7">
        <v>21.02</v>
      </c>
      <c r="E4" s="8">
        <f t="shared" ref="E4:E20" si="1">D4*(1-(C4))</f>
        <v>17.867000000000001</v>
      </c>
      <c r="F4" s="8">
        <f t="shared" si="0"/>
        <v>19.29636</v>
      </c>
    </row>
    <row r="5" spans="1:6" x14ac:dyDescent="0.3">
      <c r="A5" s="11" t="s">
        <v>128</v>
      </c>
      <c r="B5" s="12" t="s">
        <v>127</v>
      </c>
      <c r="C5" s="13">
        <v>0.15</v>
      </c>
      <c r="D5" s="7">
        <v>27.36</v>
      </c>
      <c r="E5" s="8">
        <f t="shared" si="1"/>
        <v>23.256</v>
      </c>
      <c r="F5" s="8">
        <f t="shared" si="0"/>
        <v>25.116479999999999</v>
      </c>
    </row>
    <row r="6" spans="1:6" x14ac:dyDescent="0.3">
      <c r="A6" s="11" t="s">
        <v>129</v>
      </c>
      <c r="B6" s="12" t="s">
        <v>130</v>
      </c>
      <c r="C6" s="13">
        <v>0.15</v>
      </c>
      <c r="D6" s="7">
        <v>8.64</v>
      </c>
      <c r="E6" s="8">
        <f t="shared" si="1"/>
        <v>7.3440000000000003</v>
      </c>
      <c r="F6" s="8">
        <f t="shared" si="0"/>
        <v>7.9315200000000008</v>
      </c>
    </row>
    <row r="7" spans="1:6" x14ac:dyDescent="0.3">
      <c r="A7" s="11" t="s">
        <v>131</v>
      </c>
      <c r="B7" s="12" t="s">
        <v>132</v>
      </c>
      <c r="C7" s="13">
        <v>0.15</v>
      </c>
      <c r="D7" s="7">
        <v>33.57</v>
      </c>
      <c r="E7" s="8">
        <f t="shared" si="1"/>
        <v>28.534499999999998</v>
      </c>
      <c r="F7" s="8">
        <f t="shared" si="0"/>
        <v>30.817259999999997</v>
      </c>
    </row>
    <row r="8" spans="1:6" x14ac:dyDescent="0.3">
      <c r="A8" s="11" t="s">
        <v>133</v>
      </c>
      <c r="B8" s="12" t="s">
        <v>134</v>
      </c>
      <c r="C8" s="13"/>
      <c r="D8" s="7"/>
      <c r="E8" s="8"/>
      <c r="F8" s="8">
        <f t="shared" si="0"/>
        <v>0</v>
      </c>
    </row>
    <row r="9" spans="1:6" x14ac:dyDescent="0.3">
      <c r="A9" s="11" t="s">
        <v>135</v>
      </c>
      <c r="B9" s="12" t="s">
        <v>136</v>
      </c>
      <c r="C9" s="13">
        <v>0.15</v>
      </c>
      <c r="D9" s="7">
        <v>29.76</v>
      </c>
      <c r="E9" s="8">
        <f t="shared" si="1"/>
        <v>25.295999999999999</v>
      </c>
      <c r="F9" s="8">
        <f t="shared" si="0"/>
        <v>27.319679999999998</v>
      </c>
    </row>
    <row r="10" spans="1:6" x14ac:dyDescent="0.3">
      <c r="A10" s="11" t="s">
        <v>137</v>
      </c>
      <c r="B10" s="12" t="s">
        <v>138</v>
      </c>
      <c r="C10" s="13">
        <v>0.15</v>
      </c>
      <c r="D10" s="7">
        <v>14.01</v>
      </c>
      <c r="E10" s="8">
        <f t="shared" si="1"/>
        <v>11.9085</v>
      </c>
      <c r="F10" s="8">
        <f t="shared" si="0"/>
        <v>12.861180000000001</v>
      </c>
    </row>
    <row r="11" spans="1:6" x14ac:dyDescent="0.3">
      <c r="A11" s="11" t="s">
        <v>139</v>
      </c>
      <c r="B11" s="12" t="s">
        <v>140</v>
      </c>
      <c r="C11" s="13">
        <v>0.15</v>
      </c>
      <c r="D11" s="7">
        <v>19.2</v>
      </c>
      <c r="E11" s="8">
        <f t="shared" si="1"/>
        <v>16.32</v>
      </c>
      <c r="F11" s="8">
        <f t="shared" si="0"/>
        <v>17.625599999999999</v>
      </c>
    </row>
    <row r="12" spans="1:6" x14ac:dyDescent="0.3">
      <c r="A12" s="11" t="s">
        <v>141</v>
      </c>
      <c r="B12" s="12" t="s">
        <v>123</v>
      </c>
      <c r="C12" s="13">
        <v>0.15</v>
      </c>
      <c r="D12" s="7">
        <v>32.159999999999997</v>
      </c>
      <c r="E12" s="8">
        <f t="shared" si="1"/>
        <v>27.335999999999995</v>
      </c>
      <c r="F12" s="8">
        <f t="shared" si="0"/>
        <v>29.522879999999994</v>
      </c>
    </row>
    <row r="13" spans="1:6" x14ac:dyDescent="0.3">
      <c r="A13" s="11" t="s">
        <v>142</v>
      </c>
      <c r="B13" s="12" t="s">
        <v>138</v>
      </c>
      <c r="C13" s="13">
        <v>0.15</v>
      </c>
      <c r="D13" s="7">
        <v>11.23</v>
      </c>
      <c r="E13" s="8">
        <f t="shared" si="1"/>
        <v>9.5455000000000005</v>
      </c>
      <c r="F13" s="8">
        <f t="shared" si="0"/>
        <v>10.309140000000001</v>
      </c>
    </row>
    <row r="14" spans="1:6" x14ac:dyDescent="0.3">
      <c r="A14" s="11" t="s">
        <v>143</v>
      </c>
      <c r="B14" s="12" t="s">
        <v>144</v>
      </c>
      <c r="C14" s="13">
        <v>0</v>
      </c>
      <c r="D14" s="7">
        <v>11.64</v>
      </c>
      <c r="E14" s="8">
        <f t="shared" si="1"/>
        <v>11.64</v>
      </c>
      <c r="F14" s="8">
        <f t="shared" si="0"/>
        <v>12.571200000000001</v>
      </c>
    </row>
    <row r="15" spans="1:6" x14ac:dyDescent="0.3">
      <c r="A15" s="11" t="s">
        <v>145</v>
      </c>
      <c r="B15" s="12" t="s">
        <v>146</v>
      </c>
      <c r="C15" s="13">
        <v>0.15</v>
      </c>
      <c r="D15" s="7">
        <v>15.84</v>
      </c>
      <c r="E15" s="8">
        <f t="shared" si="1"/>
        <v>13.464</v>
      </c>
      <c r="F15" s="8">
        <f t="shared" si="0"/>
        <v>14.541120000000001</v>
      </c>
    </row>
    <row r="16" spans="1:6" x14ac:dyDescent="0.3">
      <c r="A16" s="11" t="s">
        <v>147</v>
      </c>
      <c r="B16" s="12" t="s">
        <v>146</v>
      </c>
      <c r="C16" s="13">
        <v>0.15</v>
      </c>
      <c r="D16" s="7">
        <v>75.75</v>
      </c>
      <c r="E16" s="8">
        <f t="shared" si="1"/>
        <v>64.387500000000003</v>
      </c>
      <c r="F16" s="8">
        <f t="shared" si="0"/>
        <v>69.538499999999999</v>
      </c>
    </row>
    <row r="17" spans="1:6" x14ac:dyDescent="0.3">
      <c r="A17" s="11" t="s">
        <v>148</v>
      </c>
      <c r="B17" s="12" t="s">
        <v>123</v>
      </c>
      <c r="C17" s="13">
        <v>0.15</v>
      </c>
      <c r="D17" s="7">
        <v>17.62</v>
      </c>
      <c r="E17" s="8">
        <f t="shared" si="1"/>
        <v>14.977</v>
      </c>
      <c r="F17" s="8">
        <f t="shared" si="0"/>
        <v>16.175160000000002</v>
      </c>
    </row>
    <row r="18" spans="1:6" x14ac:dyDescent="0.3">
      <c r="A18" s="11" t="s">
        <v>149</v>
      </c>
      <c r="B18" s="12" t="s">
        <v>150</v>
      </c>
      <c r="C18" s="13">
        <v>0.15</v>
      </c>
      <c r="D18" s="7">
        <v>46.08</v>
      </c>
      <c r="E18" s="8">
        <f t="shared" si="1"/>
        <v>39.167999999999999</v>
      </c>
      <c r="F18" s="8">
        <f t="shared" si="0"/>
        <v>42.301439999999999</v>
      </c>
    </row>
    <row r="19" spans="1:6" x14ac:dyDescent="0.3">
      <c r="A19" s="11" t="s">
        <v>151</v>
      </c>
      <c r="B19" s="12" t="s">
        <v>152</v>
      </c>
      <c r="C19" s="13"/>
      <c r="D19" s="7"/>
      <c r="E19" s="8"/>
      <c r="F19" s="8">
        <f t="shared" si="0"/>
        <v>0</v>
      </c>
    </row>
    <row r="20" spans="1:6" x14ac:dyDescent="0.3">
      <c r="A20" s="11" t="s">
        <v>153</v>
      </c>
      <c r="B20" s="12" t="s">
        <v>154</v>
      </c>
      <c r="C20" s="13">
        <v>0.15</v>
      </c>
      <c r="D20" s="7">
        <v>46</v>
      </c>
      <c r="E20" s="8">
        <f t="shared" si="1"/>
        <v>39.1</v>
      </c>
      <c r="F20" s="8">
        <f t="shared" si="0"/>
        <v>42.228000000000002</v>
      </c>
    </row>
    <row r="21" spans="1:6" x14ac:dyDescent="0.3">
      <c r="A21" s="11" t="s">
        <v>155</v>
      </c>
      <c r="B21" s="12" t="s">
        <v>127</v>
      </c>
      <c r="C21" s="4"/>
      <c r="D21" s="7"/>
      <c r="E21" s="7">
        <v>11.75</v>
      </c>
      <c r="F21" s="8">
        <f t="shared" si="0"/>
        <v>12.69</v>
      </c>
    </row>
    <row r="22" spans="1:6" x14ac:dyDescent="0.3">
      <c r="A22" s="11" t="s">
        <v>156</v>
      </c>
      <c r="B22" s="12" t="s">
        <v>150</v>
      </c>
      <c r="C22" s="4"/>
      <c r="D22" s="7"/>
      <c r="E22" s="7"/>
      <c r="F22" s="8">
        <f t="shared" si="0"/>
        <v>0</v>
      </c>
    </row>
    <row r="23" spans="1:6" x14ac:dyDescent="0.3">
      <c r="A23" s="11" t="s">
        <v>157</v>
      </c>
      <c r="B23" s="12" t="s">
        <v>158</v>
      </c>
      <c r="C23" s="4"/>
      <c r="D23" s="7" t="s">
        <v>187</v>
      </c>
      <c r="E23" s="4">
        <v>0.25</v>
      </c>
      <c r="F23" s="8">
        <f t="shared" si="0"/>
        <v>0.27</v>
      </c>
    </row>
    <row r="24" spans="1:6" x14ac:dyDescent="0.3">
      <c r="A24" s="11" t="s">
        <v>159</v>
      </c>
      <c r="B24" s="12">
        <v>2.5</v>
      </c>
      <c r="C24" s="4"/>
      <c r="D24" s="7"/>
      <c r="E24" s="7">
        <v>5.5</v>
      </c>
      <c r="F24" s="8">
        <f t="shared" si="0"/>
        <v>5.94</v>
      </c>
    </row>
    <row r="25" spans="1:6" x14ac:dyDescent="0.3">
      <c r="A25" s="11" t="s">
        <v>159</v>
      </c>
      <c r="B25" s="12">
        <v>250</v>
      </c>
      <c r="C25" s="4"/>
      <c r="D25" s="7"/>
      <c r="E25" s="7">
        <v>4.5</v>
      </c>
      <c r="F25" s="8">
        <f t="shared" si="0"/>
        <v>4.8600000000000003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A39E7-4895-40DD-98CD-A0EEF37ADC3B}">
  <dimension ref="A1:F11"/>
  <sheetViews>
    <sheetView workbookViewId="0">
      <selection activeCell="C1" sqref="C1:E1048576"/>
    </sheetView>
  </sheetViews>
  <sheetFormatPr defaultRowHeight="14.4" x14ac:dyDescent="0.3"/>
  <cols>
    <col min="1" max="1" width="15.44140625" bestFit="1" customWidth="1"/>
    <col min="2" max="2" width="8.44140625" bestFit="1" customWidth="1"/>
    <col min="3" max="5" width="0" hidden="1" customWidth="1"/>
  </cols>
  <sheetData>
    <row r="1" spans="1:6" x14ac:dyDescent="0.3">
      <c r="A1" s="5" t="s">
        <v>119</v>
      </c>
      <c r="B1" s="12" t="s">
        <v>160</v>
      </c>
      <c r="C1" s="7"/>
      <c r="D1" s="4"/>
      <c r="E1" s="14" t="s">
        <v>121</v>
      </c>
      <c r="F1" s="4" t="s">
        <v>3</v>
      </c>
    </row>
    <row r="2" spans="1:6" x14ac:dyDescent="0.3">
      <c r="A2" s="5" t="s">
        <v>161</v>
      </c>
      <c r="B2" s="12" t="s">
        <v>162</v>
      </c>
      <c r="C2" s="7">
        <v>85</v>
      </c>
      <c r="D2" s="13">
        <v>0.06</v>
      </c>
      <c r="E2" s="7">
        <f>C2*(1-(D2))</f>
        <v>79.899999999999991</v>
      </c>
      <c r="F2" s="8">
        <f>(E2*0.08)+E2</f>
        <v>86.291999999999987</v>
      </c>
    </row>
    <row r="3" spans="1:6" x14ac:dyDescent="0.3">
      <c r="A3" s="5" t="s">
        <v>161</v>
      </c>
      <c r="B3" s="12" t="s">
        <v>163</v>
      </c>
      <c r="C3" s="7">
        <v>85</v>
      </c>
      <c r="D3" s="13">
        <v>0.06</v>
      </c>
      <c r="E3" s="7">
        <f t="shared" ref="E3:E11" si="0">C3*(1-(D3))</f>
        <v>79.899999999999991</v>
      </c>
      <c r="F3" s="8">
        <f t="shared" ref="F3:F11" si="1">(E3*0.08)+E3</f>
        <v>86.291999999999987</v>
      </c>
    </row>
    <row r="4" spans="1:6" x14ac:dyDescent="0.3">
      <c r="A4" s="5" t="s">
        <v>164</v>
      </c>
      <c r="B4" s="12" t="s">
        <v>165</v>
      </c>
      <c r="C4" s="7"/>
      <c r="D4" s="13"/>
      <c r="E4" s="7">
        <v>58.8</v>
      </c>
      <c r="F4" s="8">
        <f t="shared" si="1"/>
        <v>63.503999999999998</v>
      </c>
    </row>
    <row r="5" spans="1:6" x14ac:dyDescent="0.3">
      <c r="A5" s="5" t="s">
        <v>166</v>
      </c>
      <c r="B5" s="12" t="s">
        <v>165</v>
      </c>
      <c r="C5" s="7"/>
      <c r="D5" s="13"/>
      <c r="E5" s="7">
        <v>68.25</v>
      </c>
      <c r="F5" s="8">
        <f t="shared" si="1"/>
        <v>73.709999999999994</v>
      </c>
    </row>
    <row r="6" spans="1:6" x14ac:dyDescent="0.3">
      <c r="A6" s="5" t="s">
        <v>167</v>
      </c>
      <c r="B6" s="12" t="s">
        <v>168</v>
      </c>
      <c r="C6" s="7">
        <v>48.5</v>
      </c>
      <c r="D6" s="13">
        <v>0.1</v>
      </c>
      <c r="E6" s="7">
        <f t="shared" si="0"/>
        <v>43.65</v>
      </c>
      <c r="F6" s="8">
        <f t="shared" si="1"/>
        <v>47.141999999999996</v>
      </c>
    </row>
    <row r="7" spans="1:6" x14ac:dyDescent="0.3">
      <c r="A7" s="5" t="s">
        <v>167</v>
      </c>
      <c r="B7" s="12">
        <v>250</v>
      </c>
      <c r="C7" s="7">
        <v>46</v>
      </c>
      <c r="D7" s="13">
        <v>0.1</v>
      </c>
      <c r="E7" s="7">
        <f t="shared" si="0"/>
        <v>41.4</v>
      </c>
      <c r="F7" s="8">
        <f t="shared" si="1"/>
        <v>44.711999999999996</v>
      </c>
    </row>
    <row r="8" spans="1:6" x14ac:dyDescent="0.3">
      <c r="A8" s="5" t="s">
        <v>169</v>
      </c>
      <c r="B8" s="12" t="s">
        <v>165</v>
      </c>
      <c r="C8" s="7">
        <v>28</v>
      </c>
      <c r="D8" s="13">
        <v>0.1</v>
      </c>
      <c r="E8" s="7">
        <f t="shared" si="0"/>
        <v>25.2</v>
      </c>
      <c r="F8" s="8">
        <f t="shared" si="1"/>
        <v>27.216000000000001</v>
      </c>
    </row>
    <row r="9" spans="1:6" x14ac:dyDescent="0.3">
      <c r="A9" s="5" t="s">
        <v>169</v>
      </c>
      <c r="B9" s="12">
        <v>30</v>
      </c>
      <c r="C9" s="7">
        <v>28</v>
      </c>
      <c r="D9" s="13">
        <v>0.1</v>
      </c>
      <c r="E9" s="7">
        <f t="shared" si="0"/>
        <v>25.2</v>
      </c>
      <c r="F9" s="8">
        <f t="shared" si="1"/>
        <v>27.216000000000001</v>
      </c>
    </row>
    <row r="10" spans="1:6" x14ac:dyDescent="0.3">
      <c r="A10" s="5" t="s">
        <v>170</v>
      </c>
      <c r="B10" s="12" t="s">
        <v>165</v>
      </c>
      <c r="C10" s="7">
        <v>312.5</v>
      </c>
      <c r="D10" s="13">
        <v>0</v>
      </c>
      <c r="E10" s="7">
        <f t="shared" si="0"/>
        <v>312.5</v>
      </c>
      <c r="F10" s="8">
        <f t="shared" si="1"/>
        <v>337.5</v>
      </c>
    </row>
    <row r="11" spans="1:6" x14ac:dyDescent="0.3">
      <c r="A11" s="5" t="s">
        <v>170</v>
      </c>
      <c r="B11" s="12" t="s">
        <v>171</v>
      </c>
      <c r="C11" s="7">
        <v>79.38</v>
      </c>
      <c r="D11" s="13">
        <v>0</v>
      </c>
      <c r="E11" s="7">
        <f t="shared" si="0"/>
        <v>79.38</v>
      </c>
      <c r="F11" s="8">
        <f t="shared" si="1"/>
        <v>85.730399999999989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B5310-0203-4F9B-9915-C5CD9175116E}">
  <dimension ref="A1:E15"/>
  <sheetViews>
    <sheetView tabSelected="1" workbookViewId="0">
      <selection activeCell="I19" sqref="I19"/>
    </sheetView>
  </sheetViews>
  <sheetFormatPr defaultRowHeight="14.4" x14ac:dyDescent="0.3"/>
  <cols>
    <col min="1" max="1" width="26" bestFit="1" customWidth="1"/>
    <col min="2" max="2" width="4.6640625" hidden="1" customWidth="1"/>
    <col min="3" max="4" width="7.88671875" hidden="1" customWidth="1"/>
  </cols>
  <sheetData>
    <row r="1" spans="1:5" x14ac:dyDescent="0.3">
      <c r="A1" s="4"/>
      <c r="B1" s="4"/>
      <c r="C1" s="7"/>
      <c r="D1" s="7" t="s">
        <v>172</v>
      </c>
      <c r="E1" s="4" t="s">
        <v>3</v>
      </c>
    </row>
    <row r="2" spans="1:5" x14ac:dyDescent="0.3">
      <c r="A2" s="5" t="s">
        <v>173</v>
      </c>
      <c r="B2" s="13">
        <v>0.85</v>
      </c>
      <c r="C2" s="7">
        <v>28.25</v>
      </c>
      <c r="D2" s="7">
        <f t="shared" ref="D2:D15" si="0">(B2*C2)</f>
        <v>24.012499999999999</v>
      </c>
      <c r="E2" s="8">
        <f>(D2*0.08)+D2</f>
        <v>25.933499999999999</v>
      </c>
    </row>
    <row r="3" spans="1:5" x14ac:dyDescent="0.3">
      <c r="A3" s="5" t="s">
        <v>174</v>
      </c>
      <c r="B3" s="13">
        <v>0.85</v>
      </c>
      <c r="C3" s="7">
        <v>14.52</v>
      </c>
      <c r="D3" s="7">
        <f t="shared" si="0"/>
        <v>12.341999999999999</v>
      </c>
      <c r="E3" s="8">
        <f t="shared" ref="E3:E15" si="1">(D3*0.08)+D3</f>
        <v>13.329359999999999</v>
      </c>
    </row>
    <row r="4" spans="1:5" x14ac:dyDescent="0.3">
      <c r="A4" s="5" t="s">
        <v>175</v>
      </c>
      <c r="B4" s="13">
        <v>0.85</v>
      </c>
      <c r="C4" s="7">
        <v>95.4</v>
      </c>
      <c r="D4" s="7">
        <f t="shared" si="0"/>
        <v>81.09</v>
      </c>
      <c r="E4" s="8">
        <f t="shared" si="1"/>
        <v>87.577200000000005</v>
      </c>
    </row>
    <row r="5" spans="1:5" x14ac:dyDescent="0.3">
      <c r="A5" s="5" t="s">
        <v>176</v>
      </c>
      <c r="B5" s="13">
        <v>0.85</v>
      </c>
      <c r="C5" s="7">
        <v>12.5</v>
      </c>
      <c r="D5" s="7">
        <f t="shared" si="0"/>
        <v>10.625</v>
      </c>
      <c r="E5" s="8">
        <f t="shared" si="1"/>
        <v>11.475</v>
      </c>
    </row>
    <row r="6" spans="1:5" x14ac:dyDescent="0.3">
      <c r="A6" s="5" t="s">
        <v>177</v>
      </c>
      <c r="B6" s="13">
        <v>0.85</v>
      </c>
      <c r="C6" s="7">
        <v>67.2</v>
      </c>
      <c r="D6" s="7">
        <f t="shared" si="0"/>
        <v>57.12</v>
      </c>
      <c r="E6" s="8">
        <f t="shared" si="1"/>
        <v>61.689599999999999</v>
      </c>
    </row>
    <row r="7" spans="1:5" x14ac:dyDescent="0.3">
      <c r="A7" s="5" t="s">
        <v>178</v>
      </c>
      <c r="B7" s="13">
        <v>0.85</v>
      </c>
      <c r="C7" s="7">
        <v>7.7</v>
      </c>
      <c r="D7" s="7">
        <f t="shared" si="0"/>
        <v>6.5449999999999999</v>
      </c>
      <c r="E7" s="8">
        <f t="shared" si="1"/>
        <v>7.0686</v>
      </c>
    </row>
    <row r="8" spans="1:5" x14ac:dyDescent="0.3">
      <c r="A8" s="5" t="s">
        <v>179</v>
      </c>
      <c r="B8" s="13">
        <v>0.85</v>
      </c>
      <c r="C8" s="7">
        <v>60.57</v>
      </c>
      <c r="D8" s="7">
        <f t="shared" si="0"/>
        <v>51.484499999999997</v>
      </c>
      <c r="E8" s="8">
        <f t="shared" si="1"/>
        <v>55.603259999999999</v>
      </c>
    </row>
    <row r="9" spans="1:5" x14ac:dyDescent="0.3">
      <c r="A9" s="5" t="s">
        <v>180</v>
      </c>
      <c r="B9" s="13">
        <v>0.85</v>
      </c>
      <c r="C9" s="7">
        <v>60.57</v>
      </c>
      <c r="D9" s="7">
        <f t="shared" si="0"/>
        <v>51.484499999999997</v>
      </c>
      <c r="E9" s="8">
        <f t="shared" si="1"/>
        <v>55.603259999999999</v>
      </c>
    </row>
    <row r="10" spans="1:5" x14ac:dyDescent="0.3">
      <c r="A10" s="5" t="s">
        <v>181</v>
      </c>
      <c r="B10" s="13">
        <v>0.85</v>
      </c>
      <c r="C10" s="7">
        <v>19.2</v>
      </c>
      <c r="D10" s="7">
        <f t="shared" si="0"/>
        <v>16.32</v>
      </c>
      <c r="E10" s="8">
        <f t="shared" si="1"/>
        <v>17.625599999999999</v>
      </c>
    </row>
    <row r="11" spans="1:5" x14ac:dyDescent="0.3">
      <c r="A11" s="5" t="s">
        <v>182</v>
      </c>
      <c r="B11" s="13">
        <v>0.85</v>
      </c>
      <c r="C11" s="7">
        <v>20.11</v>
      </c>
      <c r="D11" s="7">
        <f t="shared" si="0"/>
        <v>17.093499999999999</v>
      </c>
      <c r="E11" s="8">
        <f t="shared" si="1"/>
        <v>18.460979999999999</v>
      </c>
    </row>
    <row r="12" spans="1:5" x14ac:dyDescent="0.3">
      <c r="A12" s="5" t="s">
        <v>183</v>
      </c>
      <c r="B12" s="13">
        <v>0.85</v>
      </c>
      <c r="C12" s="7">
        <v>24.48</v>
      </c>
      <c r="D12" s="7">
        <f t="shared" si="0"/>
        <v>20.808</v>
      </c>
      <c r="E12" s="8">
        <f t="shared" si="1"/>
        <v>22.472639999999998</v>
      </c>
    </row>
    <row r="13" spans="1:5" x14ac:dyDescent="0.3">
      <c r="A13" s="5" t="s">
        <v>184</v>
      </c>
      <c r="B13" s="13">
        <v>0.85</v>
      </c>
      <c r="C13" s="7">
        <v>51.36</v>
      </c>
      <c r="D13" s="7">
        <f t="shared" si="0"/>
        <v>43.655999999999999</v>
      </c>
      <c r="E13" s="8">
        <f t="shared" si="1"/>
        <v>47.148479999999999</v>
      </c>
    </row>
    <row r="14" spans="1:5" x14ac:dyDescent="0.3">
      <c r="A14" s="5" t="s">
        <v>185</v>
      </c>
      <c r="B14" s="13">
        <v>0.85</v>
      </c>
      <c r="C14" s="7">
        <v>12.85</v>
      </c>
      <c r="D14" s="7">
        <f t="shared" si="0"/>
        <v>10.922499999999999</v>
      </c>
      <c r="E14" s="8">
        <f t="shared" si="1"/>
        <v>11.796299999999999</v>
      </c>
    </row>
    <row r="15" spans="1:5" x14ac:dyDescent="0.3">
      <c r="A15" s="5" t="s">
        <v>186</v>
      </c>
      <c r="B15" s="13">
        <v>0.85</v>
      </c>
      <c r="C15" s="7">
        <v>17.760000000000002</v>
      </c>
      <c r="D15" s="7">
        <f t="shared" si="0"/>
        <v>15.096</v>
      </c>
      <c r="E15" s="8">
        <f t="shared" si="1"/>
        <v>16.30368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Adjuvant</vt:lpstr>
      <vt:lpstr>Pasture</vt:lpstr>
      <vt:lpstr>Nutrients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Wortmann</dc:creator>
  <cp:lastModifiedBy>Sam Wortmann</cp:lastModifiedBy>
  <cp:lastPrinted>2018-12-28T21:53:27Z</cp:lastPrinted>
  <dcterms:created xsi:type="dcterms:W3CDTF">2018-12-28T21:14:10Z</dcterms:created>
  <dcterms:modified xsi:type="dcterms:W3CDTF">2018-12-28T22:00:17Z</dcterms:modified>
</cp:coreProperties>
</file>